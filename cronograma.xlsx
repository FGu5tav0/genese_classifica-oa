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b586b535729f/Área de Trabalho/genese_solo/"/>
    </mc:Choice>
  </mc:AlternateContent>
  <xr:revisionPtr revIDLastSave="0" documentId="8_{D605D923-03B2-48EA-819D-951237B3BBD4}" xr6:coauthVersionLast="47" xr6:coauthVersionMax="47" xr10:uidLastSave="{00000000-0000-0000-0000-000000000000}"/>
  <bookViews>
    <workbookView xWindow="-23148" yWindow="-108" windowWidth="23256" windowHeight="12456" xr2:uid="{766AAD0F-12F6-4054-90F7-6B8007ED58D9}"/>
  </bookViews>
  <sheets>
    <sheet name="Gênese e classificação" sheetId="1" r:id="rId1"/>
    <sheet name="Física do solo" sheetId="2" r:id="rId2"/>
    <sheet name="Mecaniz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G24" i="2"/>
  <c r="M21" i="2"/>
  <c r="M19" i="2"/>
  <c r="M20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E19" i="2" l="1"/>
</calcChain>
</file>

<file path=xl/sharedStrings.xml><?xml version="1.0" encoding="utf-8"?>
<sst xmlns="http://schemas.openxmlformats.org/spreadsheetml/2006/main" count="47" uniqueCount="23">
  <si>
    <t>Segundas letivas</t>
  </si>
  <si>
    <t>Data</t>
  </si>
  <si>
    <t>Terças letivas</t>
  </si>
  <si>
    <t>Jogos</t>
  </si>
  <si>
    <t>mostra de curso</t>
  </si>
  <si>
    <t>Sextas letivas</t>
  </si>
  <si>
    <t>início</t>
  </si>
  <si>
    <t>fim</t>
  </si>
  <si>
    <t>total</t>
  </si>
  <si>
    <t/>
  </si>
  <si>
    <t>aulas</t>
  </si>
  <si>
    <t>Intemperismo</t>
  </si>
  <si>
    <t>Prova</t>
  </si>
  <si>
    <t>Sistema Brasileiro de classificação dos solos. Atributos diagnósticos. Horizontes superficiais. Horizontes subsuperficiais.</t>
  </si>
  <si>
    <t>Introdução à pedologia. O solo como parte do meio ambiente</t>
  </si>
  <si>
    <t>Material de origem do solo:  rochas ígneas, metamórficas e sedimentares. Mineralogia das rochas</t>
  </si>
  <si>
    <t>Fatores de formação do solo. Processos de formação do solo. Mineralogia do solo e suas funções ambientais</t>
  </si>
  <si>
    <t>Perfil do solo. Característica ambientais. Morfologia do solo. Descrição morfológica completa do solo</t>
  </si>
  <si>
    <t>Sistema americano de classificação do solo (Soil Taxonomy). Principais solos dos Ecossistemas do Brasil e do Paraná.</t>
  </si>
  <si>
    <t>Levantamento e mapeamento de solos. Sistemas de Classificação técnico interpretativa do solo.</t>
  </si>
  <si>
    <t>Recuperação</t>
  </si>
  <si>
    <t>OK</t>
  </si>
  <si>
    <t>Classificação de solo no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</si>
</sst>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70" formatCode="[h]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20" fontId="0" fillId="0" borderId="0" xfId="0" applyNumberFormat="1"/>
    <xf numFmtId="165" fontId="0" fillId="0" borderId="0" xfId="0" applyNumberFormat="1"/>
    <xf numFmtId="17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272E-BC11-42AF-ABDF-379829FE5917}">
  <dimension ref="A1:G20"/>
  <sheetViews>
    <sheetView tabSelected="1" zoomScale="115" zoomScaleNormal="115" workbookViewId="0">
      <selection activeCell="G10" sqref="G10"/>
    </sheetView>
  </sheetViews>
  <sheetFormatPr defaultRowHeight="15" x14ac:dyDescent="0.25"/>
  <cols>
    <col min="1" max="1" width="15.85546875" bestFit="1" customWidth="1"/>
    <col min="2" max="2" width="7.42578125" bestFit="1" customWidth="1"/>
    <col min="3" max="3" width="11.28515625" style="3" bestFit="1" customWidth="1"/>
    <col min="4" max="4" width="13.140625" style="3" bestFit="1" customWidth="1"/>
    <col min="5" max="5" width="8.42578125" style="3" bestFit="1" customWidth="1"/>
    <col min="6" max="6" width="15.42578125" bestFit="1" customWidth="1"/>
    <col min="7" max="7" width="111.5703125" bestFit="1" customWidth="1"/>
    <col min="8" max="8" width="7.42578125" bestFit="1" customWidth="1"/>
    <col min="15" max="15" width="12" bestFit="1" customWidth="1"/>
  </cols>
  <sheetData>
    <row r="1" spans="1:7" x14ac:dyDescent="0.25">
      <c r="A1" t="s">
        <v>0</v>
      </c>
      <c r="B1" t="s">
        <v>1</v>
      </c>
      <c r="C1" s="3" t="s">
        <v>6</v>
      </c>
      <c r="D1" s="3" t="s">
        <v>7</v>
      </c>
      <c r="E1" s="3" t="s">
        <v>8</v>
      </c>
      <c r="G1" s="3" t="s">
        <v>10</v>
      </c>
    </row>
    <row r="2" spans="1:7" x14ac:dyDescent="0.25">
      <c r="A2">
        <v>1</v>
      </c>
      <c r="B2" s="1">
        <v>46237</v>
      </c>
      <c r="C2" s="3">
        <v>0.5625</v>
      </c>
      <c r="D2" s="3">
        <v>0.71527777777777779</v>
      </c>
      <c r="E2" s="3">
        <f>D2-C2</f>
        <v>0.15277777777777779</v>
      </c>
      <c r="G2" s="2" t="s">
        <v>14</v>
      </c>
    </row>
    <row r="3" spans="1:7" x14ac:dyDescent="0.25">
      <c r="A3">
        <v>2</v>
      </c>
      <c r="B3" s="1">
        <v>46244</v>
      </c>
      <c r="C3" s="3">
        <v>0.5625</v>
      </c>
      <c r="D3" s="3">
        <v>0.71527777777777779</v>
      </c>
      <c r="E3" s="3">
        <f t="shared" ref="E3:E18" si="0">D3-C3</f>
        <v>0.15277777777777779</v>
      </c>
      <c r="G3" t="s">
        <v>15</v>
      </c>
    </row>
    <row r="4" spans="1:7" x14ac:dyDescent="0.25">
      <c r="A4">
        <v>3</v>
      </c>
      <c r="B4" s="1">
        <v>46251</v>
      </c>
      <c r="C4" s="3">
        <v>0.5625</v>
      </c>
      <c r="D4" s="3">
        <v>0.71527777777777779</v>
      </c>
      <c r="E4" s="3">
        <f t="shared" si="0"/>
        <v>0.15277777777777779</v>
      </c>
      <c r="G4" t="s">
        <v>11</v>
      </c>
    </row>
    <row r="5" spans="1:7" x14ac:dyDescent="0.25">
      <c r="A5">
        <v>4</v>
      </c>
      <c r="B5" s="1">
        <v>46258</v>
      </c>
      <c r="C5" s="3">
        <v>0.5625</v>
      </c>
      <c r="D5" s="3">
        <v>0.71527777777777801</v>
      </c>
      <c r="E5" s="3">
        <f t="shared" si="0"/>
        <v>0.15277777777777801</v>
      </c>
      <c r="G5" t="s">
        <v>16</v>
      </c>
    </row>
    <row r="6" spans="1:7" x14ac:dyDescent="0.25">
      <c r="A6">
        <v>5</v>
      </c>
      <c r="B6" s="1">
        <v>46265</v>
      </c>
      <c r="C6" s="3">
        <v>0.5625</v>
      </c>
      <c r="D6" s="3">
        <v>0.71527777777777801</v>
      </c>
      <c r="E6" s="3">
        <f t="shared" si="0"/>
        <v>0.15277777777777801</v>
      </c>
      <c r="G6" t="s">
        <v>16</v>
      </c>
    </row>
    <row r="7" spans="1:7" x14ac:dyDescent="0.25">
      <c r="A7">
        <v>6</v>
      </c>
      <c r="B7" s="1">
        <v>46279</v>
      </c>
      <c r="C7" s="3">
        <v>0.5625</v>
      </c>
      <c r="D7" s="3">
        <v>0.71527777777777801</v>
      </c>
      <c r="E7" s="3">
        <f t="shared" si="0"/>
        <v>0.15277777777777801</v>
      </c>
      <c r="G7" t="s">
        <v>16</v>
      </c>
    </row>
    <row r="8" spans="1:7" x14ac:dyDescent="0.25">
      <c r="A8">
        <v>7</v>
      </c>
      <c r="B8" s="1">
        <v>46286</v>
      </c>
      <c r="C8" s="3">
        <v>0.5625</v>
      </c>
      <c r="D8" s="3">
        <v>0.71527777777777801</v>
      </c>
      <c r="E8" s="3">
        <f t="shared" si="0"/>
        <v>0.15277777777777801</v>
      </c>
      <c r="G8" t="s">
        <v>12</v>
      </c>
    </row>
    <row r="9" spans="1:7" x14ac:dyDescent="0.25">
      <c r="A9">
        <v>8</v>
      </c>
      <c r="B9" s="1">
        <v>46293</v>
      </c>
      <c r="C9" s="3">
        <v>0.5625</v>
      </c>
      <c r="D9" s="3">
        <v>0.71527777777777801</v>
      </c>
      <c r="E9" s="3">
        <f t="shared" si="0"/>
        <v>0.15277777777777801</v>
      </c>
      <c r="G9" t="s">
        <v>17</v>
      </c>
    </row>
    <row r="10" spans="1:7" x14ac:dyDescent="0.25">
      <c r="A10">
        <v>9</v>
      </c>
      <c r="B10" s="1">
        <v>46300</v>
      </c>
      <c r="C10" s="3">
        <v>0.5625</v>
      </c>
      <c r="D10" s="3">
        <v>0.71527777777777801</v>
      </c>
      <c r="E10" s="3">
        <f t="shared" si="0"/>
        <v>0.15277777777777801</v>
      </c>
      <c r="G10" t="s">
        <v>13</v>
      </c>
    </row>
    <row r="11" spans="1:7" x14ac:dyDescent="0.25">
      <c r="A11">
        <v>10</v>
      </c>
      <c r="B11" s="1">
        <v>46314</v>
      </c>
      <c r="C11" s="3">
        <v>0.5625</v>
      </c>
      <c r="D11" s="3">
        <v>0.71527777777777801</v>
      </c>
      <c r="E11" s="3">
        <f t="shared" si="0"/>
        <v>0.15277777777777801</v>
      </c>
      <c r="G11" t="s">
        <v>13</v>
      </c>
    </row>
    <row r="12" spans="1:7" x14ac:dyDescent="0.25">
      <c r="A12">
        <v>11</v>
      </c>
      <c r="B12" s="1">
        <v>46321</v>
      </c>
      <c r="C12" s="3">
        <v>0.5625</v>
      </c>
      <c r="D12" s="3">
        <v>0.71527777777777801</v>
      </c>
      <c r="E12" s="3">
        <f t="shared" si="0"/>
        <v>0.15277777777777801</v>
      </c>
      <c r="G12" t="s">
        <v>22</v>
      </c>
    </row>
    <row r="13" spans="1:7" x14ac:dyDescent="0.25">
      <c r="A13">
        <v>12</v>
      </c>
      <c r="B13" s="1">
        <v>46335</v>
      </c>
      <c r="C13" s="3">
        <v>0.5625</v>
      </c>
      <c r="D13" s="3">
        <v>0.71527777777777801</v>
      </c>
      <c r="E13" s="3">
        <f t="shared" si="0"/>
        <v>0.15277777777777801</v>
      </c>
      <c r="G13" t="s">
        <v>12</v>
      </c>
    </row>
    <row r="14" spans="1:7" x14ac:dyDescent="0.25">
      <c r="A14">
        <v>13</v>
      </c>
      <c r="B14" s="1">
        <v>46342</v>
      </c>
      <c r="C14" s="3">
        <v>0.5625</v>
      </c>
      <c r="D14" s="3">
        <v>0.71527777777777801</v>
      </c>
      <c r="E14" s="3">
        <f t="shared" si="0"/>
        <v>0.15277777777777801</v>
      </c>
      <c r="G14" t="s">
        <v>18</v>
      </c>
    </row>
    <row r="15" spans="1:7" x14ac:dyDescent="0.25">
      <c r="A15">
        <v>14</v>
      </c>
      <c r="B15" s="1">
        <v>46349</v>
      </c>
      <c r="C15" s="3">
        <v>0.5625</v>
      </c>
      <c r="D15" s="3">
        <v>0.71527777777777801</v>
      </c>
      <c r="E15" s="3">
        <f t="shared" si="0"/>
        <v>0.15277777777777801</v>
      </c>
      <c r="G15" t="s">
        <v>19</v>
      </c>
    </row>
    <row r="16" spans="1:7" x14ac:dyDescent="0.25">
      <c r="A16">
        <v>15</v>
      </c>
      <c r="B16" s="1">
        <v>46356</v>
      </c>
      <c r="C16" s="3">
        <v>0.5625</v>
      </c>
      <c r="D16" s="3">
        <v>0.71527777777777801</v>
      </c>
      <c r="E16" s="3">
        <f t="shared" si="0"/>
        <v>0.15277777777777801</v>
      </c>
      <c r="G16" t="s">
        <v>19</v>
      </c>
    </row>
    <row r="17" spans="1:7" x14ac:dyDescent="0.25">
      <c r="A17">
        <v>16</v>
      </c>
      <c r="B17" s="1">
        <v>46363</v>
      </c>
      <c r="C17" s="3">
        <v>0.5625</v>
      </c>
      <c r="D17" s="3">
        <v>0.71527777777777801</v>
      </c>
      <c r="E17" s="3">
        <f t="shared" si="0"/>
        <v>0.15277777777777801</v>
      </c>
      <c r="G17" t="s">
        <v>12</v>
      </c>
    </row>
    <row r="18" spans="1:7" x14ac:dyDescent="0.25">
      <c r="A18">
        <v>17</v>
      </c>
      <c r="B18" s="1">
        <v>46370</v>
      </c>
      <c r="C18" s="3">
        <v>0.5625</v>
      </c>
      <c r="D18" s="3">
        <v>0.71527777777777801</v>
      </c>
      <c r="E18" s="3">
        <f t="shared" si="0"/>
        <v>0.15277777777777801</v>
      </c>
      <c r="G18" t="s">
        <v>20</v>
      </c>
    </row>
    <row r="19" spans="1:7" x14ac:dyDescent="0.25">
      <c r="D19" s="3" t="s">
        <v>8</v>
      </c>
      <c r="E19" s="4">
        <f>SUM(E2:E18)</f>
        <v>2.5972222222222268</v>
      </c>
    </row>
    <row r="20" spans="1:7" x14ac:dyDescent="0.25">
      <c r="E20" s="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ABFE-BFF9-487A-B630-E9712369AC43}">
  <dimension ref="A1:M24"/>
  <sheetViews>
    <sheetView workbookViewId="0">
      <selection activeCell="C1" sqref="C1:E19"/>
    </sheetView>
  </sheetViews>
  <sheetFormatPr defaultRowHeight="15" x14ac:dyDescent="0.25"/>
  <cols>
    <col min="8" max="8" width="13.140625" bestFit="1" customWidth="1"/>
    <col min="9" max="9" width="7.42578125" bestFit="1" customWidth="1"/>
    <col min="10" max="10" width="15.5703125" customWidth="1"/>
  </cols>
  <sheetData>
    <row r="1" spans="1:13" x14ac:dyDescent="0.25">
      <c r="A1" t="s">
        <v>0</v>
      </c>
      <c r="B1" t="s">
        <v>1</v>
      </c>
      <c r="C1" s="3" t="s">
        <v>6</v>
      </c>
      <c r="D1" s="3" t="s">
        <v>7</v>
      </c>
      <c r="E1" s="3" t="s">
        <v>8</v>
      </c>
      <c r="H1" t="s">
        <v>2</v>
      </c>
      <c r="I1" t="s">
        <v>1</v>
      </c>
      <c r="K1" s="3" t="s">
        <v>6</v>
      </c>
      <c r="L1" s="3" t="s">
        <v>7</v>
      </c>
      <c r="M1" s="3" t="s">
        <v>8</v>
      </c>
    </row>
    <row r="2" spans="1:13" x14ac:dyDescent="0.25">
      <c r="A2">
        <v>1</v>
      </c>
      <c r="B2" s="1">
        <v>46237</v>
      </c>
      <c r="C2" s="3">
        <v>0.42708333333333331</v>
      </c>
      <c r="D2" s="3">
        <v>0.49652777777777779</v>
      </c>
      <c r="E2" s="3">
        <f>D2-C2</f>
        <v>6.9444444444444475E-2</v>
      </c>
      <c r="H2">
        <v>1</v>
      </c>
      <c r="I2" s="1">
        <v>46238</v>
      </c>
      <c r="K2" s="3">
        <v>0.34722222222222221</v>
      </c>
      <c r="L2" s="3">
        <v>0.41666666666666669</v>
      </c>
      <c r="M2" s="3">
        <f>L2-K2</f>
        <v>6.9444444444444475E-2</v>
      </c>
    </row>
    <row r="3" spans="1:13" x14ac:dyDescent="0.25">
      <c r="A3">
        <v>2</v>
      </c>
      <c r="B3" s="1">
        <v>46244</v>
      </c>
      <c r="C3" s="3">
        <v>0.42708333333333331</v>
      </c>
      <c r="D3" s="3">
        <v>0.49652777777777779</v>
      </c>
      <c r="E3" s="3">
        <f t="shared" ref="E3:E18" si="0">D3-C3</f>
        <v>6.9444444444444475E-2</v>
      </c>
      <c r="H3">
        <v>2</v>
      </c>
      <c r="I3" s="1">
        <v>46245</v>
      </c>
      <c r="K3" s="3">
        <v>0.34722222222222221</v>
      </c>
      <c r="L3" s="3">
        <v>0.41666666666666669</v>
      </c>
      <c r="M3" s="3">
        <f t="shared" ref="M3:M20" si="1">L3-K3</f>
        <v>6.9444444444444475E-2</v>
      </c>
    </row>
    <row r="4" spans="1:13" x14ac:dyDescent="0.25">
      <c r="A4">
        <v>3</v>
      </c>
      <c r="B4" s="1">
        <v>46251</v>
      </c>
      <c r="C4" s="3">
        <v>0.42708333333333298</v>
      </c>
      <c r="D4" s="3">
        <v>0.49652777777777801</v>
      </c>
      <c r="E4" s="3">
        <f t="shared" si="0"/>
        <v>6.944444444444503E-2</v>
      </c>
      <c r="H4">
        <v>3</v>
      </c>
      <c r="I4" s="1">
        <v>46252</v>
      </c>
      <c r="K4" s="3">
        <v>0.34722222222222199</v>
      </c>
      <c r="L4" s="3">
        <v>0.41666666666666702</v>
      </c>
      <c r="M4" s="3">
        <f t="shared" si="1"/>
        <v>6.944444444444503E-2</v>
      </c>
    </row>
    <row r="5" spans="1:13" x14ac:dyDescent="0.25">
      <c r="A5">
        <v>4</v>
      </c>
      <c r="B5" s="1">
        <v>46258</v>
      </c>
      <c r="C5" s="3">
        <v>0.42708333333333298</v>
      </c>
      <c r="D5" s="3">
        <v>0.49652777777777801</v>
      </c>
      <c r="E5" s="3">
        <f t="shared" si="0"/>
        <v>6.944444444444503E-2</v>
      </c>
      <c r="H5">
        <v>4</v>
      </c>
      <c r="I5" s="1">
        <v>46259</v>
      </c>
      <c r="K5" s="3">
        <v>0.34722222222222199</v>
      </c>
      <c r="L5" s="3">
        <v>0.41666666666666702</v>
      </c>
      <c r="M5" s="3">
        <f t="shared" si="1"/>
        <v>6.944444444444503E-2</v>
      </c>
    </row>
    <row r="6" spans="1:13" x14ac:dyDescent="0.25">
      <c r="A6">
        <v>5</v>
      </c>
      <c r="B6" s="1">
        <v>46265</v>
      </c>
      <c r="C6" s="3">
        <v>0.42708333333333298</v>
      </c>
      <c r="D6" s="3">
        <v>0.49652777777777801</v>
      </c>
      <c r="E6" s="3">
        <f t="shared" si="0"/>
        <v>6.944444444444503E-2</v>
      </c>
      <c r="H6">
        <v>5</v>
      </c>
      <c r="I6" s="1">
        <v>46266</v>
      </c>
      <c r="K6" s="3">
        <v>0.34722222222222199</v>
      </c>
      <c r="L6" s="3">
        <v>0.41666666666666702</v>
      </c>
      <c r="M6" s="3">
        <f t="shared" si="1"/>
        <v>6.944444444444503E-2</v>
      </c>
    </row>
    <row r="7" spans="1:13" x14ac:dyDescent="0.25">
      <c r="A7">
        <v>6</v>
      </c>
      <c r="B7" s="1">
        <v>46279</v>
      </c>
      <c r="C7" s="3">
        <v>0.42708333333333298</v>
      </c>
      <c r="D7" s="3">
        <v>0.49652777777777801</v>
      </c>
      <c r="E7" s="3">
        <f t="shared" si="0"/>
        <v>6.944444444444503E-2</v>
      </c>
      <c r="H7">
        <v>6</v>
      </c>
      <c r="I7" s="1">
        <v>46273</v>
      </c>
      <c r="K7" s="3">
        <v>0.34722222222222199</v>
      </c>
      <c r="L7" s="3">
        <v>0.41666666666666702</v>
      </c>
      <c r="M7" s="3">
        <f t="shared" si="1"/>
        <v>6.944444444444503E-2</v>
      </c>
    </row>
    <row r="8" spans="1:13" x14ac:dyDescent="0.25">
      <c r="A8">
        <v>7</v>
      </c>
      <c r="B8" s="1">
        <v>46286</v>
      </c>
      <c r="C8" s="3">
        <v>0.42708333333333298</v>
      </c>
      <c r="D8" s="3">
        <v>0.49652777777777801</v>
      </c>
      <c r="E8" s="3">
        <f t="shared" si="0"/>
        <v>6.944444444444503E-2</v>
      </c>
      <c r="H8">
        <v>7</v>
      </c>
      <c r="I8" s="1">
        <v>46280</v>
      </c>
      <c r="J8" t="s">
        <v>4</v>
      </c>
      <c r="K8" s="3">
        <v>0.34722222222222199</v>
      </c>
      <c r="L8" s="3">
        <v>0.41666666666666702</v>
      </c>
      <c r="M8" s="3">
        <f t="shared" si="1"/>
        <v>6.944444444444503E-2</v>
      </c>
    </row>
    <row r="9" spans="1:13" x14ac:dyDescent="0.25">
      <c r="A9">
        <v>8</v>
      </c>
      <c r="B9" s="1">
        <v>46293</v>
      </c>
      <c r="C9" s="3">
        <v>0.42708333333333298</v>
      </c>
      <c r="D9" s="3">
        <v>0.49652777777777801</v>
      </c>
      <c r="E9" s="3">
        <f t="shared" si="0"/>
        <v>6.944444444444503E-2</v>
      </c>
      <c r="H9">
        <v>8</v>
      </c>
      <c r="I9" s="1">
        <v>46287</v>
      </c>
      <c r="K9" s="3">
        <v>0.34722222222222199</v>
      </c>
      <c r="L9" s="3">
        <v>0.41666666666666702</v>
      </c>
      <c r="M9" s="3">
        <f t="shared" si="1"/>
        <v>6.944444444444503E-2</v>
      </c>
    </row>
    <row r="10" spans="1:13" x14ac:dyDescent="0.25">
      <c r="A10">
        <v>9</v>
      </c>
      <c r="B10" s="1">
        <v>46300</v>
      </c>
      <c r="C10" s="3">
        <v>0.42708333333333298</v>
      </c>
      <c r="D10" s="3">
        <v>0.49652777777777801</v>
      </c>
      <c r="E10" s="3">
        <f t="shared" si="0"/>
        <v>6.944444444444503E-2</v>
      </c>
      <c r="H10">
        <v>9</v>
      </c>
      <c r="I10" s="1">
        <v>46294</v>
      </c>
      <c r="K10" s="3">
        <v>0.34722222222222199</v>
      </c>
      <c r="L10" s="3">
        <v>0.41666666666666702</v>
      </c>
      <c r="M10" s="3">
        <f t="shared" si="1"/>
        <v>6.944444444444503E-2</v>
      </c>
    </row>
    <row r="11" spans="1:13" x14ac:dyDescent="0.25">
      <c r="A11">
        <v>10</v>
      </c>
      <c r="B11" s="1">
        <v>46314</v>
      </c>
      <c r="C11" s="3">
        <v>0.42708333333333298</v>
      </c>
      <c r="D11" s="3">
        <v>0.49652777777777801</v>
      </c>
      <c r="E11" s="3">
        <f t="shared" si="0"/>
        <v>6.944444444444503E-2</v>
      </c>
      <c r="H11">
        <v>10</v>
      </c>
      <c r="I11" s="1">
        <v>46301</v>
      </c>
      <c r="K11" s="3">
        <v>0.34722222222222199</v>
      </c>
      <c r="L11" s="3">
        <v>0.41666666666666702</v>
      </c>
      <c r="M11" s="3">
        <f t="shared" si="1"/>
        <v>6.944444444444503E-2</v>
      </c>
    </row>
    <row r="12" spans="1:13" x14ac:dyDescent="0.25">
      <c r="A12">
        <v>11</v>
      </c>
      <c r="B12" s="1">
        <v>46321</v>
      </c>
      <c r="C12" s="3">
        <v>0.42708333333333298</v>
      </c>
      <c r="D12" s="3">
        <v>0.49652777777777801</v>
      </c>
      <c r="E12" s="3">
        <f t="shared" si="0"/>
        <v>6.944444444444503E-2</v>
      </c>
      <c r="H12">
        <v>11</v>
      </c>
      <c r="I12" s="1">
        <v>46315</v>
      </c>
      <c r="K12" s="3">
        <v>0.34722222222222199</v>
      </c>
      <c r="L12" s="3">
        <v>0.41666666666666702</v>
      </c>
      <c r="M12" s="3">
        <f t="shared" si="1"/>
        <v>6.944444444444503E-2</v>
      </c>
    </row>
    <row r="13" spans="1:13" x14ac:dyDescent="0.25">
      <c r="A13">
        <v>12</v>
      </c>
      <c r="B13" s="1">
        <v>46335</v>
      </c>
      <c r="C13" s="3">
        <v>0.42708333333333298</v>
      </c>
      <c r="D13" s="3">
        <v>0.49652777777777801</v>
      </c>
      <c r="E13" s="3">
        <f t="shared" si="0"/>
        <v>6.944444444444503E-2</v>
      </c>
      <c r="H13">
        <v>12</v>
      </c>
      <c r="I13" s="1">
        <v>46322</v>
      </c>
      <c r="K13" s="3">
        <v>0.34722222222222199</v>
      </c>
      <c r="L13" s="3">
        <v>0.41666666666666702</v>
      </c>
      <c r="M13" s="3">
        <f t="shared" si="1"/>
        <v>6.944444444444503E-2</v>
      </c>
    </row>
    <row r="14" spans="1:13" x14ac:dyDescent="0.25">
      <c r="A14">
        <v>13</v>
      </c>
      <c r="B14" s="1">
        <v>46342</v>
      </c>
      <c r="C14" s="3">
        <v>0.42708333333333298</v>
      </c>
      <c r="D14" s="3">
        <v>0.49652777777777801</v>
      </c>
      <c r="E14" s="3">
        <f t="shared" si="0"/>
        <v>6.944444444444503E-2</v>
      </c>
      <c r="H14">
        <v>13</v>
      </c>
      <c r="I14" s="1">
        <v>46329</v>
      </c>
      <c r="K14" s="3">
        <v>0.34722222222222199</v>
      </c>
      <c r="L14" s="3">
        <v>0.41666666666666702</v>
      </c>
      <c r="M14" s="3">
        <f t="shared" si="1"/>
        <v>6.944444444444503E-2</v>
      </c>
    </row>
    <row r="15" spans="1:13" x14ac:dyDescent="0.25">
      <c r="A15">
        <v>14</v>
      </c>
      <c r="B15" s="1">
        <v>46349</v>
      </c>
      <c r="C15" s="3">
        <v>0.42708333333333298</v>
      </c>
      <c r="D15" s="3">
        <v>0.49652777777777801</v>
      </c>
      <c r="E15" s="3">
        <f t="shared" si="0"/>
        <v>6.944444444444503E-2</v>
      </c>
      <c r="H15">
        <v>14</v>
      </c>
      <c r="I15" s="1">
        <v>46336</v>
      </c>
      <c r="K15" s="3">
        <v>0.34722222222222199</v>
      </c>
      <c r="L15" s="3">
        <v>0.41666666666666702</v>
      </c>
      <c r="M15" s="3">
        <f t="shared" si="1"/>
        <v>6.944444444444503E-2</v>
      </c>
    </row>
    <row r="16" spans="1:13" x14ac:dyDescent="0.25">
      <c r="A16">
        <v>15</v>
      </c>
      <c r="B16" s="1">
        <v>46356</v>
      </c>
      <c r="C16" s="3">
        <v>0.42708333333333298</v>
      </c>
      <c r="D16" s="3">
        <v>0.49652777777777801</v>
      </c>
      <c r="E16" s="3">
        <f t="shared" si="0"/>
        <v>6.944444444444503E-2</v>
      </c>
      <c r="H16">
        <v>15</v>
      </c>
      <c r="I16" s="1">
        <v>46343</v>
      </c>
      <c r="J16" t="s">
        <v>3</v>
      </c>
      <c r="K16" s="3">
        <v>0.34722222222222199</v>
      </c>
      <c r="L16" s="3">
        <v>0.41666666666666702</v>
      </c>
      <c r="M16" s="3">
        <f t="shared" si="1"/>
        <v>6.944444444444503E-2</v>
      </c>
    </row>
    <row r="17" spans="1:13" x14ac:dyDescent="0.25">
      <c r="A17">
        <v>16</v>
      </c>
      <c r="B17" s="1">
        <v>46363</v>
      </c>
      <c r="C17" s="3">
        <v>0.42708333333333298</v>
      </c>
      <c r="D17" s="3">
        <v>0.49652777777777801</v>
      </c>
      <c r="E17" s="3">
        <f t="shared" si="0"/>
        <v>6.944444444444503E-2</v>
      </c>
      <c r="H17">
        <v>16</v>
      </c>
      <c r="I17" s="1">
        <v>46350</v>
      </c>
      <c r="K17" s="3">
        <v>0.34722222222222199</v>
      </c>
      <c r="L17" s="3">
        <v>0.41666666666666702</v>
      </c>
      <c r="M17" s="3">
        <f t="shared" si="1"/>
        <v>6.944444444444503E-2</v>
      </c>
    </row>
    <row r="18" spans="1:13" x14ac:dyDescent="0.25">
      <c r="A18">
        <v>17</v>
      </c>
      <c r="B18" s="1">
        <v>46370</v>
      </c>
      <c r="C18" s="3">
        <v>0.42708333333333298</v>
      </c>
      <c r="D18" s="3">
        <v>0.49652777777777801</v>
      </c>
      <c r="E18" s="3">
        <f t="shared" si="0"/>
        <v>6.944444444444503E-2</v>
      </c>
      <c r="H18">
        <v>17</v>
      </c>
      <c r="I18" s="1">
        <v>46357</v>
      </c>
      <c r="K18" s="3">
        <v>0.34722222222222199</v>
      </c>
      <c r="L18" s="3">
        <v>0.41666666666666702</v>
      </c>
      <c r="M18" s="3">
        <f t="shared" si="1"/>
        <v>6.944444444444503E-2</v>
      </c>
    </row>
    <row r="19" spans="1:13" x14ac:dyDescent="0.25">
      <c r="C19" s="3"/>
      <c r="D19" s="3" t="s">
        <v>8</v>
      </c>
      <c r="E19" s="4">
        <f>SUM(E2:E18)</f>
        <v>1.1805555555555649</v>
      </c>
      <c r="H19">
        <v>18</v>
      </c>
      <c r="I19" s="1">
        <v>46364</v>
      </c>
      <c r="K19" s="3">
        <v>0.34722222222222199</v>
      </c>
      <c r="L19" s="3">
        <v>0.41666666666666702</v>
      </c>
      <c r="M19" s="3">
        <f t="shared" si="1"/>
        <v>6.944444444444503E-2</v>
      </c>
    </row>
    <row r="20" spans="1:13" x14ac:dyDescent="0.25">
      <c r="H20">
        <v>19</v>
      </c>
      <c r="I20" s="1">
        <v>46371</v>
      </c>
      <c r="K20" s="3">
        <v>0.34722222222222199</v>
      </c>
      <c r="L20" s="3">
        <v>0.41666666666666702</v>
      </c>
      <c r="M20" s="3">
        <f t="shared" si="1"/>
        <v>6.944444444444503E-2</v>
      </c>
    </row>
    <row r="21" spans="1:13" x14ac:dyDescent="0.25">
      <c r="L21" s="3" t="s">
        <v>8</v>
      </c>
      <c r="M21" s="4">
        <f>SUM(M2:M20)</f>
        <v>1.3194444444444551</v>
      </c>
    </row>
    <row r="22" spans="1:13" x14ac:dyDescent="0.25">
      <c r="F22" s="5" t="s">
        <v>9</v>
      </c>
    </row>
    <row r="23" spans="1:13" x14ac:dyDescent="0.25">
      <c r="G23" t="s">
        <v>8</v>
      </c>
    </row>
    <row r="24" spans="1:13" x14ac:dyDescent="0.25">
      <c r="G24" s="4">
        <f>E19+M21</f>
        <v>2.50000000000002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A1E4-66C2-4638-B5C3-071E6416918B}">
  <dimension ref="A1:E20"/>
  <sheetViews>
    <sheetView workbookViewId="0">
      <selection activeCell="E21" sqref="E21"/>
    </sheetView>
  </sheetViews>
  <sheetFormatPr defaultRowHeight="15" x14ac:dyDescent="0.25"/>
  <sheetData>
    <row r="1" spans="1:5" x14ac:dyDescent="0.25">
      <c r="A1" t="s">
        <v>5</v>
      </c>
      <c r="B1" t="s">
        <v>1</v>
      </c>
      <c r="C1" s="3" t="s">
        <v>6</v>
      </c>
      <c r="D1" s="3" t="s">
        <v>7</v>
      </c>
      <c r="E1" s="3" t="s">
        <v>8</v>
      </c>
    </row>
    <row r="2" spans="1:5" x14ac:dyDescent="0.25">
      <c r="A2">
        <v>1</v>
      </c>
      <c r="B2" s="1">
        <v>46234</v>
      </c>
      <c r="C2" s="3">
        <v>0.34722222222222221</v>
      </c>
      <c r="D2" s="3">
        <v>0.49652777777777779</v>
      </c>
      <c r="E2" s="3">
        <f>D2-C2</f>
        <v>0.14930555555555558</v>
      </c>
    </row>
    <row r="3" spans="1:5" x14ac:dyDescent="0.25">
      <c r="A3">
        <v>2</v>
      </c>
      <c r="B3" s="1">
        <v>46241</v>
      </c>
      <c r="C3" s="3">
        <v>0.34722222222222221</v>
      </c>
      <c r="D3" s="3">
        <v>0.49652777777777779</v>
      </c>
      <c r="E3" s="3">
        <f t="shared" ref="E3:E19" si="0">D3-C3</f>
        <v>0.14930555555555558</v>
      </c>
    </row>
    <row r="4" spans="1:5" x14ac:dyDescent="0.25">
      <c r="A4">
        <v>3</v>
      </c>
      <c r="B4" s="1">
        <v>46248</v>
      </c>
      <c r="C4" s="3">
        <v>0.34722222222222199</v>
      </c>
      <c r="D4" s="3">
        <v>0.49652777777777801</v>
      </c>
      <c r="E4" s="3">
        <f t="shared" si="0"/>
        <v>0.14930555555555602</v>
      </c>
    </row>
    <row r="5" spans="1:5" x14ac:dyDescent="0.25">
      <c r="A5">
        <v>4</v>
      </c>
      <c r="B5" s="1">
        <v>46255</v>
      </c>
      <c r="C5" s="3">
        <v>0.34722222222222199</v>
      </c>
      <c r="D5" s="3">
        <v>0.49652777777777801</v>
      </c>
      <c r="E5" s="3">
        <f t="shared" si="0"/>
        <v>0.14930555555555602</v>
      </c>
    </row>
    <row r="6" spans="1:5" x14ac:dyDescent="0.25">
      <c r="A6">
        <v>5</v>
      </c>
      <c r="B6" s="1">
        <v>46262</v>
      </c>
      <c r="C6" s="3">
        <v>0.34722222222222199</v>
      </c>
      <c r="D6" s="3">
        <v>0.49652777777777801</v>
      </c>
      <c r="E6" s="3">
        <f t="shared" si="0"/>
        <v>0.14930555555555602</v>
      </c>
    </row>
    <row r="7" spans="1:5" x14ac:dyDescent="0.25">
      <c r="A7">
        <v>6</v>
      </c>
      <c r="B7" s="1">
        <v>46269</v>
      </c>
      <c r="C7" s="3">
        <v>0.34722222222222199</v>
      </c>
      <c r="D7" s="3">
        <v>0.49652777777777801</v>
      </c>
      <c r="E7" s="3">
        <f t="shared" si="0"/>
        <v>0.14930555555555602</v>
      </c>
    </row>
    <row r="8" spans="1:5" x14ac:dyDescent="0.25">
      <c r="A8">
        <v>7</v>
      </c>
      <c r="B8" s="1">
        <v>46276</v>
      </c>
      <c r="C8" s="3">
        <v>0.34722222222222199</v>
      </c>
      <c r="D8" s="3">
        <v>0.49652777777777801</v>
      </c>
      <c r="E8" s="3">
        <f t="shared" si="0"/>
        <v>0.14930555555555602</v>
      </c>
    </row>
    <row r="9" spans="1:5" x14ac:dyDescent="0.25">
      <c r="A9">
        <v>8</v>
      </c>
      <c r="B9" s="1">
        <v>46283</v>
      </c>
      <c r="C9" s="3">
        <v>0.34722222222222199</v>
      </c>
      <c r="D9" s="3">
        <v>0.49652777777777801</v>
      </c>
      <c r="E9" s="3">
        <f t="shared" si="0"/>
        <v>0.14930555555555602</v>
      </c>
    </row>
    <row r="10" spans="1:5" x14ac:dyDescent="0.25">
      <c r="A10">
        <v>9</v>
      </c>
      <c r="B10" s="1">
        <v>46290</v>
      </c>
      <c r="C10" s="3">
        <v>0.34722222222222199</v>
      </c>
      <c r="D10" s="3">
        <v>0.49652777777777801</v>
      </c>
      <c r="E10" s="3">
        <f t="shared" si="0"/>
        <v>0.14930555555555602</v>
      </c>
    </row>
    <row r="11" spans="1:5" x14ac:dyDescent="0.25">
      <c r="A11">
        <v>10</v>
      </c>
      <c r="B11" s="1">
        <v>46297</v>
      </c>
      <c r="C11" s="3">
        <v>0.34722222222222199</v>
      </c>
      <c r="D11" s="3">
        <v>0.49652777777777801</v>
      </c>
      <c r="E11" s="3">
        <f t="shared" si="0"/>
        <v>0.14930555555555602</v>
      </c>
    </row>
    <row r="12" spans="1:5" x14ac:dyDescent="0.25">
      <c r="A12">
        <v>11</v>
      </c>
      <c r="B12" s="1">
        <v>46304</v>
      </c>
      <c r="C12" s="3">
        <v>0.34722222222222199</v>
      </c>
      <c r="D12" s="3">
        <v>0.49652777777777801</v>
      </c>
      <c r="E12" s="3">
        <f t="shared" si="0"/>
        <v>0.14930555555555602</v>
      </c>
    </row>
    <row r="13" spans="1:5" x14ac:dyDescent="0.25">
      <c r="A13">
        <v>12</v>
      </c>
      <c r="B13" s="1">
        <v>46318</v>
      </c>
      <c r="C13" s="3">
        <v>0.34722222222222199</v>
      </c>
      <c r="D13" s="3">
        <v>0.49652777777777801</v>
      </c>
      <c r="E13" s="3">
        <f t="shared" si="0"/>
        <v>0.14930555555555602</v>
      </c>
    </row>
    <row r="14" spans="1:5" x14ac:dyDescent="0.25">
      <c r="A14">
        <v>13</v>
      </c>
      <c r="B14" s="1">
        <v>46325</v>
      </c>
      <c r="C14" s="3">
        <v>0.34722222222222199</v>
      </c>
      <c r="D14" s="3">
        <v>0.49652777777777801</v>
      </c>
      <c r="E14" s="3">
        <f t="shared" si="0"/>
        <v>0.14930555555555602</v>
      </c>
    </row>
    <row r="15" spans="1:5" x14ac:dyDescent="0.25">
      <c r="A15">
        <v>14</v>
      </c>
      <c r="B15" s="1">
        <v>46332</v>
      </c>
      <c r="C15" s="3">
        <v>0.34722222222222199</v>
      </c>
      <c r="D15" s="3">
        <v>0.49652777777777801</v>
      </c>
      <c r="E15" s="3">
        <f t="shared" si="0"/>
        <v>0.14930555555555602</v>
      </c>
    </row>
    <row r="16" spans="1:5" x14ac:dyDescent="0.25">
      <c r="A16">
        <v>15</v>
      </c>
      <c r="B16" s="1">
        <v>46339</v>
      </c>
      <c r="C16" s="3">
        <v>0.34722222222222199</v>
      </c>
      <c r="D16" s="3">
        <v>0.49652777777777801</v>
      </c>
      <c r="E16" s="3">
        <f t="shared" si="0"/>
        <v>0.14930555555555602</v>
      </c>
    </row>
    <row r="17" spans="1:5" x14ac:dyDescent="0.25">
      <c r="A17">
        <v>16</v>
      </c>
      <c r="B17" s="1">
        <v>46353</v>
      </c>
      <c r="C17" s="3">
        <v>0.34722222222222199</v>
      </c>
      <c r="D17" s="3">
        <v>0.49652777777777801</v>
      </c>
      <c r="E17" s="3">
        <f t="shared" si="0"/>
        <v>0.14930555555555602</v>
      </c>
    </row>
    <row r="18" spans="1:5" x14ac:dyDescent="0.25">
      <c r="A18">
        <v>17</v>
      </c>
      <c r="B18" s="1">
        <v>46360</v>
      </c>
      <c r="C18" s="3">
        <v>0.34722222222222199</v>
      </c>
      <c r="D18" s="3">
        <v>0.49652777777777801</v>
      </c>
      <c r="E18" s="3">
        <f t="shared" si="0"/>
        <v>0.14930555555555602</v>
      </c>
    </row>
    <row r="19" spans="1:5" x14ac:dyDescent="0.25">
      <c r="A19">
        <v>18</v>
      </c>
      <c r="B19" s="1">
        <v>46367</v>
      </c>
      <c r="C19" s="3">
        <v>0.34722222222222199</v>
      </c>
      <c r="D19" s="3">
        <v>0.49652777777777801</v>
      </c>
      <c r="E19" s="3">
        <f t="shared" si="0"/>
        <v>0.14930555555555602</v>
      </c>
    </row>
    <row r="20" spans="1:5" x14ac:dyDescent="0.25">
      <c r="D20" s="3" t="s">
        <v>8</v>
      </c>
      <c r="E20" s="4">
        <f>SUM(E2:E19)</f>
        <v>2.687500000000008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Gênese e classificação</vt:lpstr>
      <vt:lpstr>Física do solo</vt:lpstr>
      <vt:lpstr>Mecanização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FROSI</dc:creator>
  <cp:lastModifiedBy>GUSTAVO FROSI</cp:lastModifiedBy>
  <dcterms:created xsi:type="dcterms:W3CDTF">2026-07-08T13:59:11Z</dcterms:created>
  <dcterms:modified xsi:type="dcterms:W3CDTF">2026-07-08T16:18:55Z</dcterms:modified>
</cp:coreProperties>
</file>